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TAGE\Documents\Excel &amp; CSV Files\"/>
    </mc:Choice>
  </mc:AlternateContent>
  <xr:revisionPtr revIDLastSave="0" documentId="13_ncr:1_{9BE1F93A-D13C-4380-9EDC-4F258356FE64}" xr6:coauthVersionLast="47" xr6:coauthVersionMax="47" xr10:uidLastSave="{00000000-0000-0000-0000-000000000000}"/>
  <bookViews>
    <workbookView xWindow="-108" yWindow="-108" windowWidth="23256" windowHeight="12456" activeTab="1" xr2:uid="{1E9F4A33-A431-4772-88DF-FBD1678C1F22}"/>
  </bookViews>
  <sheets>
    <sheet name="Product List" sheetId="1" r:id="rId1"/>
    <sheet name="Invo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C9" i="2"/>
  <c r="C10" i="2"/>
  <c r="E10" i="2" s="1"/>
  <c r="C11" i="2"/>
  <c r="E11" i="2" s="1"/>
  <c r="C12" i="2"/>
  <c r="E12" i="2" s="1"/>
  <c r="C8" i="2"/>
  <c r="E8" i="2" s="1"/>
  <c r="E14" i="2" l="1"/>
</calcChain>
</file>

<file path=xl/sharedStrings.xml><?xml version="1.0" encoding="utf-8"?>
<sst xmlns="http://schemas.openxmlformats.org/spreadsheetml/2006/main" count="30" uniqueCount="25">
  <si>
    <t xml:space="preserve">Product Name </t>
  </si>
  <si>
    <t xml:space="preserve">Unit Price </t>
  </si>
  <si>
    <t>Amoxicillin 250mg</t>
  </si>
  <si>
    <t>Metformin 500mg</t>
  </si>
  <si>
    <t>Omeprazole 20mg</t>
  </si>
  <si>
    <t>Azithromycin 250mg</t>
  </si>
  <si>
    <t>Cetirizine 10mg</t>
  </si>
  <si>
    <t>Vitamin C 500mg</t>
  </si>
  <si>
    <t>Calcium + D3</t>
  </si>
  <si>
    <t>ORS Sachet</t>
  </si>
  <si>
    <t>Antacid Suspension</t>
  </si>
  <si>
    <t xml:space="preserve">Paracetamol 500mg </t>
  </si>
  <si>
    <t>PHARMACY INVOICE</t>
  </si>
  <si>
    <t>Invoice No</t>
  </si>
  <si>
    <t>INV-001</t>
  </si>
  <si>
    <t>Date</t>
  </si>
  <si>
    <t>19-06-2025</t>
  </si>
  <si>
    <t>Customer Name</t>
  </si>
  <si>
    <t>#</t>
  </si>
  <si>
    <t>Product Name</t>
  </si>
  <si>
    <t>Quantity</t>
  </si>
  <si>
    <t>Unit Price (BDT)</t>
  </si>
  <si>
    <t>Total (BDT)</t>
  </si>
  <si>
    <t>Grand Total</t>
  </si>
  <si>
    <t>City Medical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</si>
</sst>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2" fillId="3" borderId="1" xfId="0" applyFont="1" applyFill="1" applyBorder="1"/>
    <xf numFmtId="0" fontId="1" fillId="2" borderId="1" xfId="0" applyFont="1" applyFill="1" applyBorder="1"/>
    <xf numFmtId="0" fontId="0" fillId="0" borderId="0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E476-2204-4F5D-9DC6-CB980BEB350E}">
  <dimension ref="A1:B11"/>
  <sheetViews>
    <sheetView zoomScale="140" zoomScaleNormal="140" workbookViewId="0">
      <selection activeCell="E4" sqref="E4"/>
    </sheetView>
  </sheetViews>
  <sheetFormatPr defaultRowHeight="14.4" x14ac:dyDescent="0.3"/>
  <cols>
    <col min="1" max="1" width="22.33203125" customWidth="1"/>
    <col min="2" max="2" width="9.77734375" customWidth="1"/>
  </cols>
  <sheetData>
    <row r="1" spans="1:2" x14ac:dyDescent="0.3">
      <c r="A1" s="5" t="s">
        <v>0</v>
      </c>
      <c r="B1" s="5" t="s">
        <v>1</v>
      </c>
    </row>
    <row r="2" spans="1:2" x14ac:dyDescent="0.3">
      <c r="A2" s="1" t="s">
        <v>11</v>
      </c>
      <c r="B2" s="1">
        <v>2.5</v>
      </c>
    </row>
    <row r="3" spans="1:2" x14ac:dyDescent="0.3">
      <c r="A3" s="1" t="s">
        <v>2</v>
      </c>
      <c r="B3" s="1">
        <v>8</v>
      </c>
    </row>
    <row r="4" spans="1:2" x14ac:dyDescent="0.3">
      <c r="A4" s="1" t="s">
        <v>3</v>
      </c>
      <c r="B4" s="1">
        <v>5</v>
      </c>
    </row>
    <row r="5" spans="1:2" x14ac:dyDescent="0.3">
      <c r="A5" s="1" t="s">
        <v>4</v>
      </c>
      <c r="B5" s="1">
        <v>6.5</v>
      </c>
    </row>
    <row r="6" spans="1:2" x14ac:dyDescent="0.3">
      <c r="A6" s="1" t="s">
        <v>5</v>
      </c>
      <c r="B6" s="1">
        <v>35</v>
      </c>
    </row>
    <row r="7" spans="1:2" x14ac:dyDescent="0.3">
      <c r="A7" s="1" t="s">
        <v>6</v>
      </c>
      <c r="B7" s="1">
        <v>3</v>
      </c>
    </row>
    <row r="8" spans="1:2" x14ac:dyDescent="0.3">
      <c r="A8" s="1" t="s">
        <v>7</v>
      </c>
      <c r="B8" s="1">
        <v>4.5</v>
      </c>
    </row>
    <row r="9" spans="1:2" x14ac:dyDescent="0.3">
      <c r="A9" s="1" t="s">
        <v>8</v>
      </c>
      <c r="B9" s="1">
        <v>12</v>
      </c>
    </row>
    <row r="10" spans="1:2" x14ac:dyDescent="0.3">
      <c r="A10" s="1" t="s">
        <v>9</v>
      </c>
      <c r="B10" s="1">
        <v>1.5</v>
      </c>
    </row>
    <row r="11" spans="1:2" x14ac:dyDescent="0.3">
      <c r="A11" s="1" t="s">
        <v>10</v>
      </c>
      <c r="B11" s="1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1E23-17FF-47E3-843B-CB39CB3964A0}">
  <dimension ref="A1:E14"/>
  <sheetViews>
    <sheetView tabSelected="1" zoomScale="140" zoomScaleNormal="140" workbookViewId="0">
      <selection activeCell="L17" sqref="L17"/>
    </sheetView>
  </sheetViews>
  <sheetFormatPr defaultRowHeight="14.4" x14ac:dyDescent="0.3"/>
  <cols>
    <col min="1" max="1" width="17.88671875" customWidth="1"/>
    <col min="2" max="2" width="21.44140625" customWidth="1"/>
    <col min="3" max="3" width="14.33203125" customWidth="1"/>
    <col min="4" max="4" width="11.33203125" customWidth="1"/>
    <col min="5" max="5" width="16.21875" customWidth="1"/>
  </cols>
  <sheetData>
    <row r="1" spans="1:5" ht="21" x14ac:dyDescent="0.4">
      <c r="A1" s="2" t="s">
        <v>12</v>
      </c>
      <c r="B1" s="3"/>
      <c r="C1" s="3"/>
      <c r="D1" s="3"/>
      <c r="E1" s="3"/>
    </row>
    <row r="2" spans="1:5" x14ac:dyDescent="0.3">
      <c r="A2" s="6"/>
      <c r="B2" s="6"/>
    </row>
    <row r="3" spans="1:5" x14ac:dyDescent="0.3">
      <c r="A3" s="1" t="s">
        <v>13</v>
      </c>
      <c r="B3" s="1" t="s">
        <v>14</v>
      </c>
    </row>
    <row r="4" spans="1:5" x14ac:dyDescent="0.3">
      <c r="A4" s="1" t="s">
        <v>15</v>
      </c>
      <c r="B4" s="1" t="s">
        <v>16</v>
      </c>
    </row>
    <row r="5" spans="1:5" x14ac:dyDescent="0.3">
      <c r="A5" s="1" t="s">
        <v>17</v>
      </c>
      <c r="B5" s="1" t="s">
        <v>24</v>
      </c>
    </row>
    <row r="7" spans="1:5" x14ac:dyDescent="0.3">
      <c r="A7" s="4" t="s">
        <v>18</v>
      </c>
      <c r="B7" s="4" t="s">
        <v>19</v>
      </c>
      <c r="C7" s="4" t="s">
        <v>21</v>
      </c>
      <c r="D7" s="4" t="s">
        <v>20</v>
      </c>
      <c r="E7" s="4" t="s">
        <v>22</v>
      </c>
    </row>
    <row r="8" spans="1:5" x14ac:dyDescent="0.3">
      <c r="A8" s="1">
        <v>1</v>
      </c>
      <c r="B8" s="1" t="s">
        <v>11</v>
      </c>
      <c r="C8" s="1">
        <f>_xlfn.XLOOKUP(B8,'Product List'!$A$2:$A$11,'Product List'!$B$2:$B$11,"",0)</f>
        <v>2.5</v>
      </c>
      <c r="D8" s="1">
        <v>100</v>
      </c>
      <c r="E8" s="7">
        <f>IF(B8=" "," ",C8*D8)</f>
        <v>250</v>
      </c>
    </row>
    <row r="9" spans="1:5" x14ac:dyDescent="0.3">
      <c r="A9" s="1">
        <v>2</v>
      </c>
      <c r="B9" s="1" t="s">
        <v>2</v>
      </c>
      <c r="C9" s="1">
        <f>_xlfn.XLOOKUP(B9,'Product List'!$A$2:$A$11,'Product List'!$B$2:$B$11,"",0)</f>
        <v>8</v>
      </c>
      <c r="D9" s="1">
        <v>50</v>
      </c>
      <c r="E9" s="7">
        <f t="shared" ref="E9:E12" si="0">IF(B9=" "," ",C9*D9)</f>
        <v>400</v>
      </c>
    </row>
    <row r="10" spans="1:5" x14ac:dyDescent="0.3">
      <c r="A10" s="1">
        <v>3</v>
      </c>
      <c r="B10" s="1" t="s">
        <v>7</v>
      </c>
      <c r="C10" s="1">
        <f>_xlfn.XLOOKUP(B10,'Product List'!$A$2:$A$11,'Product List'!$B$2:$B$11,"",0)</f>
        <v>4.5</v>
      </c>
      <c r="D10" s="1">
        <v>200</v>
      </c>
      <c r="E10" s="7">
        <f t="shared" si="0"/>
        <v>900</v>
      </c>
    </row>
    <row r="11" spans="1:5" x14ac:dyDescent="0.3">
      <c r="A11" s="1">
        <v>4</v>
      </c>
      <c r="B11" s="1" t="s">
        <v>9</v>
      </c>
      <c r="C11" s="1">
        <f>_xlfn.XLOOKUP(B11,'Product List'!$A$2:$A$11,'Product List'!$B$2:$B$11,"",0)</f>
        <v>1.5</v>
      </c>
      <c r="D11" s="1">
        <v>150</v>
      </c>
      <c r="E11" s="7">
        <f t="shared" si="0"/>
        <v>225</v>
      </c>
    </row>
    <row r="12" spans="1:5" x14ac:dyDescent="0.3">
      <c r="A12" s="1">
        <v>5</v>
      </c>
      <c r="B12" s="1" t="s">
        <v>5</v>
      </c>
      <c r="C12" s="1">
        <f>_xlfn.XLOOKUP(B12,'Product List'!$A$2:$A$11,'Product List'!$B$2:$B$11,"",0)</f>
        <v>35</v>
      </c>
      <c r="D12" s="1">
        <v>30</v>
      </c>
      <c r="E12" s="7">
        <f t="shared" si="0"/>
        <v>1050</v>
      </c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5" t="s">
        <v>23</v>
      </c>
      <c r="E14" s="5">
        <f>SUM(E8:E12)</f>
        <v>2825</v>
      </c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E71B1-3201-4BD8-B066-88A9D5322FAA}">
          <x14:formula1>
            <xm:f>'Product List'!$A$2:$A$11</xm:f>
          </x14:formula1>
          <xm:sqref>B8:B12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List</vt:lpstr>
      <vt:lpstr>Invoice</vt:lpstr>
    </vt:vector>
  </TitlesOfParts>
  <Company>VINTAGE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Vintage Systems</dc:creator>
  <cp:lastModifiedBy>Vintage Systems</cp:lastModifiedBy>
  <dcterms:created xsi:type="dcterms:W3CDTF">2026-06-18T19:54:37Z</dcterms:created>
  <dcterms:modified xsi:type="dcterms:W3CDTF">2026-06-18T21:14:42Z</dcterms:modified>
</cp:coreProperties>
</file>